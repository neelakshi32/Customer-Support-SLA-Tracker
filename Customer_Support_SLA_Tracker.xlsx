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6405d2c564d086/Documents/"/>
    </mc:Choice>
  </mc:AlternateContent>
  <xr:revisionPtr revIDLastSave="0" documentId="8_{AE166380-CA43-4B15-991D-78F01250FFC8}" xr6:coauthVersionLast="47" xr6:coauthVersionMax="47" xr10:uidLastSave="{00000000-0000-0000-0000-000000000000}"/>
  <bookViews>
    <workbookView xWindow="-108" yWindow="-108" windowWidth="23256" windowHeight="12456" xr2:uid="{71235E50-C73D-4B24-B660-5D6DC6218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7" i="1"/>
  <c r="G9" i="1"/>
  <c r="G13" i="1"/>
  <c r="G14" i="1"/>
  <c r="G16" i="1"/>
  <c r="G17" i="1"/>
  <c r="F4" i="1"/>
  <c r="G4" i="1" s="1"/>
  <c r="F5" i="1"/>
  <c r="G5" i="1" s="1"/>
  <c r="F6" i="1"/>
  <c r="G6" i="1" s="1"/>
  <c r="F7" i="1"/>
  <c r="F8" i="1"/>
  <c r="G8" i="1" s="1"/>
  <c r="F9" i="1"/>
  <c r="F10" i="1"/>
  <c r="G10" i="1" s="1"/>
  <c r="F11" i="1"/>
  <c r="G11" i="1" s="1"/>
  <c r="F12" i="1"/>
  <c r="G12" i="1" s="1"/>
  <c r="F13" i="1"/>
  <c r="F14" i="1"/>
  <c r="F15" i="1"/>
  <c r="G15" i="1" s="1"/>
  <c r="F16" i="1"/>
  <c r="F17" i="1"/>
  <c r="F2" i="1"/>
  <c r="G2" i="1" s="1"/>
  <c r="F3" i="1"/>
</calcChain>
</file>

<file path=xl/sharedStrings.xml><?xml version="1.0" encoding="utf-8"?>
<sst xmlns="http://schemas.openxmlformats.org/spreadsheetml/2006/main" count="71" uniqueCount="49">
  <si>
    <t>Status</t>
  </si>
  <si>
    <t>Ticket ID</t>
  </si>
  <si>
    <t>Customer Name</t>
  </si>
  <si>
    <t>Issue Category</t>
  </si>
  <si>
    <t>Date Received</t>
  </si>
  <si>
    <t>Resolution Time</t>
  </si>
  <si>
    <t>SLA Status</t>
  </si>
  <si>
    <t>TCK-101</t>
  </si>
  <si>
    <t>TCK-102</t>
  </si>
  <si>
    <t>TCK-103</t>
  </si>
  <si>
    <t>TCK-104</t>
  </si>
  <si>
    <t>TCK-105</t>
  </si>
  <si>
    <t>TCK-106</t>
  </si>
  <si>
    <t>TCK-107</t>
  </si>
  <si>
    <t>TCK-108</t>
  </si>
  <si>
    <t>TCK-109</t>
  </si>
  <si>
    <t>TCK-110</t>
  </si>
  <si>
    <t>TCK-111</t>
  </si>
  <si>
    <t>TCK-112</t>
  </si>
  <si>
    <t>TCK-113</t>
  </si>
  <si>
    <t>TCK-114</t>
  </si>
  <si>
    <t>TCK-115</t>
  </si>
  <si>
    <t>TCK-116</t>
  </si>
  <si>
    <t>Rahul Sharma</t>
  </si>
  <si>
    <t>Priya Verma</t>
  </si>
  <si>
    <t>Amit Patel</t>
  </si>
  <si>
    <t>Sneha Singh</t>
  </si>
  <si>
    <t>Vikram Kumar</t>
  </si>
  <si>
    <t>Gaurav Singh</t>
  </si>
  <si>
    <t>Neha Rathi</t>
  </si>
  <si>
    <t>Anuj Kumar</t>
  </si>
  <si>
    <t>Sweta Tiwari</t>
  </si>
  <si>
    <t>Pallavi Jaiswal</t>
  </si>
  <si>
    <t>Priyank Baliyan</t>
  </si>
  <si>
    <t>Manju Devi</t>
  </si>
  <si>
    <t>Rudraksh Pal</t>
  </si>
  <si>
    <t>Taniya Malik</t>
  </si>
  <si>
    <t>Risha Jaipal</t>
  </si>
  <si>
    <t>Rakshit Pal</t>
  </si>
  <si>
    <t>Order Delay</t>
  </si>
  <si>
    <t>Refund Issue</t>
  </si>
  <si>
    <t>Wrong Item</t>
  </si>
  <si>
    <t>Billing Query</t>
  </si>
  <si>
    <t>Damaged Product</t>
  </si>
  <si>
    <t>Pending</t>
  </si>
  <si>
    <t>Resolved</t>
  </si>
  <si>
    <t xml:space="preserve">Resolved </t>
  </si>
  <si>
    <t>Payment Issue</t>
  </si>
  <si>
    <t>Different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</si>
</sst>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ahnschrift SemiBold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3" fillId="0" borderId="0" xfId="1" applyNumberFormat="1" applyFont="1"/>
    <xf numFmtId="0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9947-695C-42F5-8BBA-206C84A84FCE}">
  <dimension ref="A1:G17"/>
  <sheetViews>
    <sheetView tabSelected="1" zoomScale="145" workbookViewId="0">
      <selection activeCell="M16" sqref="M16"/>
    </sheetView>
  </sheetViews>
  <sheetFormatPr defaultRowHeight="14.4" x14ac:dyDescent="0.3"/>
  <cols>
    <col min="2" max="2" width="16.109375" customWidth="1"/>
    <col min="3" max="3" width="15.33203125" customWidth="1"/>
    <col min="4" max="4" width="14" customWidth="1"/>
    <col min="6" max="6" width="16.21875" customWidth="1"/>
    <col min="7" max="7" width="12.44140625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23</v>
      </c>
      <c r="C2" s="2" t="s">
        <v>39</v>
      </c>
      <c r="D2" s="3">
        <v>46293</v>
      </c>
      <c r="E2" s="2" t="s">
        <v>44</v>
      </c>
      <c r="F2" s="4">
        <f ca="1">TODAY()-D2</f>
        <v>6</v>
      </c>
      <c r="G2" t="str">
        <f ca="1">IF(E2="Resolved","Closed",IF(F2&gt;2,"SLA Breached","Within SLA"))</f>
        <v>SLA Breached</v>
      </c>
    </row>
    <row r="3" spans="1:7" x14ac:dyDescent="0.3">
      <c r="A3" s="2" t="s">
        <v>8</v>
      </c>
      <c r="B3" s="2" t="s">
        <v>24</v>
      </c>
      <c r="C3" s="2" t="s">
        <v>40</v>
      </c>
      <c r="D3" s="3">
        <v>46298</v>
      </c>
      <c r="E3" s="2" t="s">
        <v>45</v>
      </c>
      <c r="F3" s="5">
        <f ca="1">TODAY()-D2</f>
        <v>6</v>
      </c>
      <c r="G3" t="str">
        <f t="shared" ref="G3:G17" si="0">IF(E3="Resolved","Closed",IF(F3&gt;2,"SLA Breached","Within SLA"))</f>
        <v>Closed</v>
      </c>
    </row>
    <row r="4" spans="1:7" x14ac:dyDescent="0.3">
      <c r="A4" s="2" t="s">
        <v>9</v>
      </c>
      <c r="B4" s="2" t="s">
        <v>25</v>
      </c>
      <c r="C4" s="2" t="s">
        <v>41</v>
      </c>
      <c r="D4" s="3">
        <v>46290</v>
      </c>
      <c r="E4" s="2" t="s">
        <v>44</v>
      </c>
      <c r="F4" s="4">
        <f t="shared" ref="F4:F17" ca="1" si="1">TODAY()-D4</f>
        <v>9</v>
      </c>
      <c r="G4" t="str">
        <f t="shared" ca="1" si="0"/>
        <v>SLA Breached</v>
      </c>
    </row>
    <row r="5" spans="1:7" x14ac:dyDescent="0.3">
      <c r="A5" s="2" t="s">
        <v>10</v>
      </c>
      <c r="B5" s="2" t="s">
        <v>26</v>
      </c>
      <c r="C5" s="2" t="s">
        <v>43</v>
      </c>
      <c r="D5" s="3">
        <v>46297</v>
      </c>
      <c r="E5" s="2" t="s">
        <v>44</v>
      </c>
      <c r="F5" s="5">
        <f t="shared" ref="F5:F17" ca="1" si="2">TODAY()-D4</f>
        <v>9</v>
      </c>
      <c r="G5" t="str">
        <f t="shared" ca="1" si="0"/>
        <v>SLA Breached</v>
      </c>
    </row>
    <row r="6" spans="1:7" x14ac:dyDescent="0.3">
      <c r="A6" s="2" t="s">
        <v>11</v>
      </c>
      <c r="B6" s="2" t="s">
        <v>27</v>
      </c>
      <c r="C6" s="2" t="s">
        <v>42</v>
      </c>
      <c r="D6" s="3">
        <v>46296</v>
      </c>
      <c r="E6" s="2" t="s">
        <v>44</v>
      </c>
      <c r="F6" s="4">
        <f t="shared" ref="F6:F17" ca="1" si="3">TODAY()-D6</f>
        <v>3</v>
      </c>
      <c r="G6" t="str">
        <f t="shared" ca="1" si="0"/>
        <v>SLA Breached</v>
      </c>
    </row>
    <row r="7" spans="1:7" x14ac:dyDescent="0.3">
      <c r="A7" s="2" t="s">
        <v>12</v>
      </c>
      <c r="B7" s="2" t="s">
        <v>30</v>
      </c>
      <c r="C7" s="2" t="s">
        <v>47</v>
      </c>
      <c r="D7" s="3">
        <v>46295</v>
      </c>
      <c r="E7" s="2" t="s">
        <v>45</v>
      </c>
      <c r="F7" s="5">
        <f t="shared" ref="F7:F17" ca="1" si="4">TODAY()-D6</f>
        <v>3</v>
      </c>
      <c r="G7" t="str">
        <f t="shared" si="0"/>
        <v>Closed</v>
      </c>
    </row>
    <row r="8" spans="1:7" x14ac:dyDescent="0.3">
      <c r="A8" s="2" t="s">
        <v>13</v>
      </c>
      <c r="B8" s="2" t="s">
        <v>28</v>
      </c>
      <c r="C8" s="2" t="s">
        <v>48</v>
      </c>
      <c r="D8" s="3">
        <v>46297</v>
      </c>
      <c r="E8" s="2" t="s">
        <v>46</v>
      </c>
      <c r="F8" s="4">
        <f t="shared" ref="F8:F17" ca="1" si="5">TODAY()-D8</f>
        <v>2</v>
      </c>
      <c r="G8" t="str">
        <f t="shared" ca="1" si="0"/>
        <v>Within SLA</v>
      </c>
    </row>
    <row r="9" spans="1:7" x14ac:dyDescent="0.3">
      <c r="A9" s="2" t="s">
        <v>14</v>
      </c>
      <c r="B9" s="2" t="s">
        <v>29</v>
      </c>
      <c r="C9" s="2" t="s">
        <v>39</v>
      </c>
      <c r="D9" s="3">
        <v>46296</v>
      </c>
      <c r="E9" s="2" t="s">
        <v>45</v>
      </c>
      <c r="F9" s="5">
        <f t="shared" ref="F9:F17" ca="1" si="6">TODAY()-D8</f>
        <v>2</v>
      </c>
      <c r="G9" t="str">
        <f t="shared" si="0"/>
        <v>Closed</v>
      </c>
    </row>
    <row r="10" spans="1:7" x14ac:dyDescent="0.3">
      <c r="A10" s="2" t="s">
        <v>15</v>
      </c>
      <c r="B10" s="2" t="s">
        <v>31</v>
      </c>
      <c r="C10" s="2" t="s">
        <v>41</v>
      </c>
      <c r="D10" s="3">
        <v>46289</v>
      </c>
      <c r="E10" s="2" t="s">
        <v>44</v>
      </c>
      <c r="F10" s="4">
        <f t="shared" ref="F10:F17" ca="1" si="7">TODAY()-D10</f>
        <v>10</v>
      </c>
      <c r="G10" t="str">
        <f t="shared" ca="1" si="0"/>
        <v>SLA Breached</v>
      </c>
    </row>
    <row r="11" spans="1:7" x14ac:dyDescent="0.3">
      <c r="A11" s="2" t="s">
        <v>16</v>
      </c>
      <c r="B11" s="2" t="s">
        <v>32</v>
      </c>
      <c r="C11" s="2" t="s">
        <v>40</v>
      </c>
      <c r="D11" s="3">
        <v>46291</v>
      </c>
      <c r="E11" s="2" t="s">
        <v>44</v>
      </c>
      <c r="F11" s="5">
        <f t="shared" ref="F11:F17" ca="1" si="8">TODAY()-D10</f>
        <v>10</v>
      </c>
      <c r="G11" t="str">
        <f t="shared" ca="1" si="0"/>
        <v>SLA Breached</v>
      </c>
    </row>
    <row r="12" spans="1:7" x14ac:dyDescent="0.3">
      <c r="A12" s="2" t="s">
        <v>17</v>
      </c>
      <c r="B12" s="2" t="s">
        <v>33</v>
      </c>
      <c r="C12" s="2" t="s">
        <v>39</v>
      </c>
      <c r="D12" s="3">
        <v>46298</v>
      </c>
      <c r="E12" s="2" t="s">
        <v>44</v>
      </c>
      <c r="F12" s="4">
        <f t="shared" ref="F12:F17" ca="1" si="9">TODAY()-D12</f>
        <v>1</v>
      </c>
      <c r="G12" t="str">
        <f t="shared" ca="1" si="0"/>
        <v>Within SLA</v>
      </c>
    </row>
    <row r="13" spans="1:7" x14ac:dyDescent="0.3">
      <c r="A13" s="2" t="s">
        <v>18</v>
      </c>
      <c r="B13" s="2" t="s">
        <v>34</v>
      </c>
      <c r="C13" s="2" t="s">
        <v>43</v>
      </c>
      <c r="D13" s="3">
        <v>46292</v>
      </c>
      <c r="E13" s="2" t="s">
        <v>44</v>
      </c>
      <c r="F13" s="5">
        <f t="shared" ref="F13:F17" ca="1" si="10">TODAY()-D12</f>
        <v>1</v>
      </c>
      <c r="G13" t="str">
        <f t="shared" ca="1" si="0"/>
        <v>Within SLA</v>
      </c>
    </row>
    <row r="14" spans="1:7" x14ac:dyDescent="0.3">
      <c r="A14" s="2" t="s">
        <v>19</v>
      </c>
      <c r="B14" s="2" t="s">
        <v>35</v>
      </c>
      <c r="C14" s="2" t="s">
        <v>42</v>
      </c>
      <c r="D14" s="3">
        <v>46293</v>
      </c>
      <c r="E14" s="2" t="s">
        <v>44</v>
      </c>
      <c r="F14" s="4">
        <f t="shared" ref="F14:F17" ca="1" si="11">TODAY()-D14</f>
        <v>6</v>
      </c>
      <c r="G14" t="str">
        <f t="shared" ca="1" si="0"/>
        <v>SLA Breached</v>
      </c>
    </row>
    <row r="15" spans="1:7" x14ac:dyDescent="0.3">
      <c r="A15" s="2" t="s">
        <v>20</v>
      </c>
      <c r="B15" s="2" t="s">
        <v>36</v>
      </c>
      <c r="C15" s="2" t="s">
        <v>47</v>
      </c>
      <c r="D15" s="3">
        <v>46297</v>
      </c>
      <c r="E15" s="2" t="s">
        <v>44</v>
      </c>
      <c r="F15" s="5">
        <f t="shared" ref="F15:F17" ca="1" si="12">TODAY()-D14</f>
        <v>6</v>
      </c>
      <c r="G15" t="str">
        <f t="shared" ca="1" si="0"/>
        <v>SLA Breached</v>
      </c>
    </row>
    <row r="16" spans="1:7" x14ac:dyDescent="0.3">
      <c r="A16" s="2" t="s">
        <v>21</v>
      </c>
      <c r="B16" s="2" t="s">
        <v>37</v>
      </c>
      <c r="C16" s="2" t="s">
        <v>41</v>
      </c>
      <c r="D16" s="3">
        <v>46296</v>
      </c>
      <c r="E16" s="2" t="s">
        <v>45</v>
      </c>
      <c r="F16" s="4">
        <f t="shared" ref="F16:F17" ca="1" si="13">TODAY()-D16</f>
        <v>3</v>
      </c>
      <c r="G16" t="str">
        <f t="shared" si="0"/>
        <v>Closed</v>
      </c>
    </row>
    <row r="17" spans="1:7" x14ac:dyDescent="0.3">
      <c r="A17" s="2" t="s">
        <v>22</v>
      </c>
      <c r="B17" s="2" t="s">
        <v>38</v>
      </c>
      <c r="C17" s="2" t="s">
        <v>39</v>
      </c>
      <c r="D17" s="3">
        <v>46298</v>
      </c>
      <c r="E17" s="2" t="s">
        <v>45</v>
      </c>
      <c r="F17" s="5">
        <f t="shared" ref="F17" ca="1" si="14">TODAY()-D16</f>
        <v>3</v>
      </c>
      <c r="G17" t="str">
        <f t="shared" si="0"/>
        <v>Closed</v>
      </c>
    </row>
  </sheetData>
  <phoneticPr fontId="4" type="noConversion"/>
  <pageMargins left="0.7" right="0.7" top="0.75" bottom="0.75" header="0.3" footer="0.3"/>
  <pageSetup orientation="portrait" r:id="rId1"/>
  <ignoredErrors>
    <ignoredError sqref="F3 F5 F7 F9 F11 F13 F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NEELAKSHI BALIYAN</dc:creator>
  <cp:lastModifiedBy>NEELAKSHI BALIYAN</cp:lastModifiedBy>
  <dcterms:created xsi:type="dcterms:W3CDTF">2026-10-04T07:40:29Z</dcterms:created>
  <dcterms:modified xsi:type="dcterms:W3CDTF">2026-10-04T08:26:40Z</dcterms:modified>
</cp:coreProperties>
</file>